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<sst xmlns="http://schemas.openxmlformats.org/spreadsheetml/2006/main" count="64" uniqueCount="48">
  <si>
    <t>Name</t>
  </si>
  <si>
    <t>Werkstatt</t>
  </si>
  <si>
    <t>Geschenkestapel 1</t>
  </si>
  <si>
    <t>Geschenkestapel 2</t>
  </si>
  <si>
    <t>Ergebnis</t>
  </si>
  <si>
    <t>Schlitten</t>
  </si>
  <si>
    <t>Kapazität</t>
  </si>
  <si>
    <t>Geschenke pro Rentier</t>
  </si>
  <si>
    <t>benötigte Rentiere</t>
  </si>
  <si>
    <t>Werkstatt Nord</t>
  </si>
  <si>
    <t>Weihnachtsschlitten</t>
  </si>
  <si>
    <t>Werkstatt Süd</t>
  </si>
  <si>
    <t>Werkstatt West</t>
  </si>
  <si>
    <t>Gesamtgeschenke</t>
  </si>
  <si>
    <t>Kind</t>
  </si>
  <si>
    <t>Geschenk</t>
  </si>
  <si>
    <t>Status</t>
  </si>
  <si>
    <t>Geschenkcode</t>
  </si>
  <si>
    <t>Lagerort</t>
  </si>
  <si>
    <t>Mila</t>
  </si>
  <si>
    <t>Sternenlampe</t>
  </si>
  <si>
    <t>verpackt</t>
  </si>
  <si>
    <t>Noah</t>
  </si>
  <si>
    <t>Schneekugel</t>
  </si>
  <si>
    <t>Lio</t>
  </si>
  <si>
    <t>Lio-Märchenbuch</t>
  </si>
  <si>
    <t>Märchenbuch</t>
  </si>
  <si>
    <t>Ava</t>
  </si>
  <si>
    <t>Ava-Kompass</t>
  </si>
  <si>
    <t>Kompass</t>
  </si>
  <si>
    <t>Emma</t>
  </si>
  <si>
    <t>Emma-Zauberschal</t>
  </si>
  <si>
    <t>Zauberschal</t>
  </si>
  <si>
    <t>Aufgabe</t>
  </si>
  <si>
    <t>Wert</t>
  </si>
  <si>
    <t>Finn</t>
  </si>
  <si>
    <t>Finn-Plüschrentier</t>
  </si>
  <si>
    <t>Plüschrentier</t>
  </si>
  <si>
    <t>Verpackt zählen</t>
  </si>
  <si>
    <t>Ella</t>
  </si>
  <si>
    <t>Ella-Mondlaterne</t>
  </si>
  <si>
    <t>Mondlaterne</t>
  </si>
  <si>
    <t>Offene zählen</t>
  </si>
  <si>
    <t>offen</t>
  </si>
  <si>
    <t>Tom</t>
  </si>
  <si>
    <t>Tom-Winterstiefel</t>
  </si>
  <si>
    <t>Winterstiefel</t>
  </si>
  <si>
    <t>Schlittenstatus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</si>
</sst>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274E13"/>
      <name val="Arial"/>
      <scheme val="minor"/>
    </font>
    <font>
      <color theme="1"/>
      <name val="Arial"/>
      <scheme val="minor"/>
    </font>
    <font>
      <b/>
      <color rgb="FF274E13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3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2" fontId="1" numFmtId="0" xfId="0" applyAlignment="1" applyFont="1">
      <alignment horizontal="left" readingOrder="0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3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75"/>
    <col customWidth="1" min="3" max="3" width="24.63"/>
    <col customWidth="1" min="4" max="4" width="21.5"/>
    <col customWidth="1" min="6" max="6" width="16.88"/>
    <col customWidth="1" min="7" max="7" width="16.63"/>
    <col customWidth="1" min="8" max="8" width="23.88"/>
    <col customWidth="1" min="9" max="9" width="22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3"/>
      <c r="F3" s="5" t="s">
        <v>5</v>
      </c>
      <c r="G3" s="5" t="s">
        <v>6</v>
      </c>
      <c r="H3" s="6" t="s">
        <v>7</v>
      </c>
      <c r="I3" s="6" t="s">
        <v>8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8" t="s">
        <v>9</v>
      </c>
      <c r="B4" s="8">
        <v>12.0</v>
      </c>
      <c r="C4" s="8">
        <v>8.0</v>
      </c>
      <c r="D4" s="9"/>
      <c r="E4" s="3"/>
      <c r="F4" s="8" t="s">
        <v>10</v>
      </c>
      <c r="G4" s="8">
        <v>200.0</v>
      </c>
      <c r="H4" s="8">
        <v>10.0</v>
      </c>
      <c r="I4" s="3">
        <f>ROUND(D7/H4, 0)</f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8" t="s">
        <v>11</v>
      </c>
      <c r="B5" s="8">
        <v>7.0</v>
      </c>
      <c r="C5" s="8">
        <v>15.0</v>
      </c>
      <c r="D5" s="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8" t="s">
        <v>12</v>
      </c>
      <c r="B6" s="8">
        <v>10.0</v>
      </c>
      <c r="C6" s="8">
        <v>5.0</v>
      </c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4" t="s">
        <v>13</v>
      </c>
      <c r="B7" s="8">
        <f t="shared" ref="B7:C7" si="1">SUM(B4:B6)</f>
        <v>29</v>
      </c>
      <c r="C7" s="8">
        <f t="shared" si="1"/>
        <v>28</v>
      </c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8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4" t="s">
        <v>14</v>
      </c>
      <c r="B9" s="4" t="s">
        <v>15</v>
      </c>
      <c r="C9" s="4" t="s">
        <v>16</v>
      </c>
      <c r="D9" s="4" t="s">
        <v>17</v>
      </c>
      <c r="E9" s="3"/>
      <c r="F9" s="4" t="s">
        <v>14</v>
      </c>
      <c r="G9" s="4" t="s">
        <v>17</v>
      </c>
      <c r="H9" s="5" t="s">
        <v>15</v>
      </c>
      <c r="I9" s="4" t="s">
        <v>18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8" t="s">
        <v>19</v>
      </c>
      <c r="B10" s="8" t="s">
        <v>20</v>
      </c>
      <c r="C10" s="8" t="s">
        <v>21</v>
      </c>
      <c r="D10" s="10"/>
      <c r="E10" s="3"/>
      <c r="F10" s="8" t="s">
        <v>19</v>
      </c>
      <c r="G10" s="2"/>
      <c r="H10" s="7" t="s">
        <v>20</v>
      </c>
      <c r="I10" s="3" t="str">
        <f t="shared" ref="I10:I17" si="2">IF(G10="","",IF(LEFT(G10,1)&lt;="F","Lager 1",IF(LEFT(G10,1)&lt;="M","Lager 2",IF(LEFT(G10,1)&lt;="S","Lager 3","Lager 4"))))</f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8" t="s">
        <v>22</v>
      </c>
      <c r="B11" s="8" t="s">
        <v>23</v>
      </c>
      <c r="C11" s="8" t="s">
        <v>21</v>
      </c>
      <c r="D11" s="10"/>
      <c r="E11" s="3"/>
      <c r="F11" s="8" t="s">
        <v>22</v>
      </c>
      <c r="G11" s="2"/>
      <c r="H11" s="7" t="s">
        <v>23</v>
      </c>
      <c r="I11" s="3" t="str">
        <f t="shared" si="2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8" t="s">
        <v>24</v>
      </c>
      <c r="B12" s="2"/>
      <c r="C12" s="8" t="s">
        <v>21</v>
      </c>
      <c r="D12" s="8" t="s">
        <v>25</v>
      </c>
      <c r="E12" s="3"/>
      <c r="F12" s="8" t="s">
        <v>24</v>
      </c>
      <c r="G12" s="8" t="s">
        <v>25</v>
      </c>
      <c r="H12" s="7" t="s">
        <v>26</v>
      </c>
      <c r="I12" s="3" t="str">
        <f t="shared" si="2"/>
        <v>Lager 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8" t="s">
        <v>27</v>
      </c>
      <c r="B13" s="2"/>
      <c r="C13" s="8" t="s">
        <v>21</v>
      </c>
      <c r="D13" s="8" t="s">
        <v>28</v>
      </c>
      <c r="E13" s="3"/>
      <c r="F13" s="8" t="s">
        <v>27</v>
      </c>
      <c r="G13" s="8" t="s">
        <v>28</v>
      </c>
      <c r="H13" s="7" t="s">
        <v>29</v>
      </c>
      <c r="I13" s="3" t="str">
        <f t="shared" si="2"/>
        <v>Lager 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8"/>
      <c r="B14" s="3"/>
      <c r="C14" s="8"/>
      <c r="D14" s="8"/>
      <c r="E14" s="3"/>
      <c r="F14" s="8" t="s">
        <v>30</v>
      </c>
      <c r="G14" s="8" t="s">
        <v>31</v>
      </c>
      <c r="H14" s="7" t="s">
        <v>32</v>
      </c>
      <c r="I14" s="3" t="str">
        <f t="shared" si="2"/>
        <v>Lager 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4" t="s">
        <v>33</v>
      </c>
      <c r="B15" s="4" t="s">
        <v>34</v>
      </c>
      <c r="C15" s="4" t="s">
        <v>4</v>
      </c>
      <c r="D15" s="3"/>
      <c r="E15" s="3"/>
      <c r="F15" s="8" t="s">
        <v>35</v>
      </c>
      <c r="G15" s="8" t="s">
        <v>36</v>
      </c>
      <c r="H15" s="7" t="s">
        <v>37</v>
      </c>
      <c r="I15" s="3" t="str">
        <f t="shared" si="2"/>
        <v>Lager 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8" t="s">
        <v>38</v>
      </c>
      <c r="B16" s="8" t="s">
        <v>21</v>
      </c>
      <c r="C16" s="2"/>
      <c r="D16" s="3"/>
      <c r="E16" s="3"/>
      <c r="F16" s="8" t="s">
        <v>39</v>
      </c>
      <c r="G16" s="8" t="s">
        <v>40</v>
      </c>
      <c r="H16" s="7" t="s">
        <v>41</v>
      </c>
      <c r="I16" s="3" t="str">
        <f t="shared" si="2"/>
        <v>Lager 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8" t="s">
        <v>42</v>
      </c>
      <c r="B17" s="8" t="s">
        <v>43</v>
      </c>
      <c r="C17" s="11"/>
      <c r="D17" s="3"/>
      <c r="E17" s="3"/>
      <c r="F17" s="8" t="s">
        <v>44</v>
      </c>
      <c r="G17" s="8" t="s">
        <v>45</v>
      </c>
      <c r="H17" s="7" t="s">
        <v>46</v>
      </c>
      <c r="I17" s="3" t="str">
        <f t="shared" si="2"/>
        <v>Lager 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8" t="s">
        <v>47</v>
      </c>
      <c r="B18" s="8"/>
      <c r="C18" s="11"/>
      <c r="D18" s="3"/>
      <c r="E18" s="3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8"/>
      <c r="B19" s="3"/>
      <c r="C19" s="3"/>
      <c r="D19" s="3"/>
      <c r="E19" s="3"/>
      <c r="F19" s="8"/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</sheetData>
  <drawing r:id="rId1"/>
</worksheet>
</file>